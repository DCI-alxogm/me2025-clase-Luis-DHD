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8_{A4AFD43B-7129-4237-8836-562F3DBF62B2}" xr6:coauthVersionLast="47" xr6:coauthVersionMax="47" xr10:uidLastSave="{00000000-0000-0000-0000-000000000000}"/>
  <bookViews>
    <workbookView xWindow="-108" yWindow="-108" windowWidth="23256" windowHeight="12456" xr2:uid="{5D44EC55-3176-4AAD-B016-82E715C75AC6}"/>
  </bookViews>
  <sheets>
    <sheet name="Hoja1" sheetId="1" r:id="rId1"/>
  </sheets>
  <definedNames>
    <definedName name="solver_adj" localSheetId="0" hidden="1">Hoja1!$D$4:$E$4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Hoja1!$D$4</definedName>
    <definedName name="solver_lhs2" localSheetId="0" hidden="1">Hoja1!$E$4</definedName>
    <definedName name="solver_lhs3" localSheetId="0" hidden="1">Hoja1!$G$10</definedName>
    <definedName name="solver_lhs4" localSheetId="0" hidden="1">Hoja1!$G$7</definedName>
    <definedName name="solver_lhs5" localSheetId="0" hidden="1">Hoja1!$G$8</definedName>
    <definedName name="solver_lhs6" localSheetId="0" hidden="1">Hoja1!$G$9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Hoja1!$F$15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0</definedName>
    <definedName name="solver_rhs2" localSheetId="0" hidden="1">0</definedName>
    <definedName name="solver_rhs3" localSheetId="0" hidden="1">Hoja1!$H$10</definedName>
    <definedName name="solver_rhs4" localSheetId="0" hidden="1">Hoja1!$H$7</definedName>
    <definedName name="solver_rhs5" localSheetId="0" hidden="1">Hoja1!$H$8</definedName>
    <definedName name="solver_rhs6" localSheetId="0" hidden="1">Hoja1!$H$9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G8" i="1"/>
  <c r="G7" i="1"/>
  <c r="G10" i="1"/>
  <c r="G9" i="1"/>
  <c r="F15" i="1" l="1"/>
</calcChain>
</file>

<file path=xl/sharedStrings.xml><?xml version="1.0" encoding="utf-8"?>
<sst xmlns="http://schemas.openxmlformats.org/spreadsheetml/2006/main" count="11" uniqueCount="10">
  <si>
    <t>Regular</t>
  </si>
  <si>
    <t>Premium</t>
  </si>
  <si>
    <t>Total</t>
  </si>
  <si>
    <t>Disponible</t>
  </si>
  <si>
    <t>Producido</t>
  </si>
  <si>
    <t>Materia prima</t>
  </si>
  <si>
    <t>Almacenamiento regular</t>
  </si>
  <si>
    <t>Almacxenamiento premium</t>
  </si>
  <si>
    <t>Tiempo</t>
  </si>
  <si>
    <t>Ganancia 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</si>
</sst>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F992-A983-4BEF-B08E-76311A5E48A6}">
  <dimension ref="C3:H15"/>
  <sheetViews>
    <sheetView tabSelected="1" workbookViewId="0">
      <selection activeCell="C3" sqref="C3:H15"/>
    </sheetView>
  </sheetViews>
  <sheetFormatPr baseColWidth="10" defaultRowHeight="14.4" x14ac:dyDescent="0.3"/>
  <cols>
    <col min="3" max="3" width="24.6640625" customWidth="1"/>
  </cols>
  <sheetData>
    <row r="3" spans="3:8" x14ac:dyDescent="0.3">
      <c r="C3" s="1"/>
      <c r="D3" s="1" t="s">
        <v>0</v>
      </c>
      <c r="E3" s="1" t="s">
        <v>1</v>
      </c>
      <c r="F3" s="1"/>
      <c r="G3" s="1" t="s">
        <v>2</v>
      </c>
      <c r="H3" s="1" t="s">
        <v>3</v>
      </c>
    </row>
    <row r="4" spans="3:8" x14ac:dyDescent="0.3">
      <c r="C4" s="1" t="s">
        <v>4</v>
      </c>
      <c r="D4" s="4">
        <v>4.8888888888888893</v>
      </c>
      <c r="E4" s="4">
        <v>3.8888888888888888</v>
      </c>
      <c r="F4" s="1"/>
      <c r="G4" s="1"/>
      <c r="H4" s="1"/>
    </row>
    <row r="5" spans="3:8" x14ac:dyDescent="0.3">
      <c r="C5" s="1"/>
      <c r="D5" s="1"/>
      <c r="E5" s="1"/>
      <c r="F5" s="1"/>
      <c r="G5" s="1"/>
      <c r="H5" s="1"/>
    </row>
    <row r="6" spans="3:8" x14ac:dyDescent="0.3">
      <c r="C6" s="1"/>
      <c r="D6" s="1"/>
      <c r="E6" s="1"/>
      <c r="F6" s="1"/>
      <c r="G6" s="1"/>
      <c r="H6" s="1"/>
    </row>
    <row r="7" spans="3:8" x14ac:dyDescent="0.3">
      <c r="C7" s="1" t="s">
        <v>5</v>
      </c>
      <c r="D7" s="2">
        <v>7</v>
      </c>
      <c r="E7" s="2">
        <v>11</v>
      </c>
      <c r="F7" s="1"/>
      <c r="G7" s="4">
        <f>D7*D4+E7*E4</f>
        <v>77</v>
      </c>
      <c r="H7" s="2">
        <v>77</v>
      </c>
    </row>
    <row r="8" spans="3:8" x14ac:dyDescent="0.3">
      <c r="C8" s="1" t="s">
        <v>8</v>
      </c>
      <c r="D8" s="2">
        <v>10</v>
      </c>
      <c r="E8" s="2">
        <v>8</v>
      </c>
      <c r="F8" s="1"/>
      <c r="G8" s="4">
        <f>D8*D4+E8*E4</f>
        <v>80</v>
      </c>
      <c r="H8" s="2">
        <v>80</v>
      </c>
    </row>
    <row r="9" spans="3:8" x14ac:dyDescent="0.3">
      <c r="C9" s="1" t="s">
        <v>6</v>
      </c>
      <c r="D9" s="1"/>
      <c r="E9" s="1"/>
      <c r="F9" s="1"/>
      <c r="G9" s="4">
        <f>D4</f>
        <v>4.8888888888888893</v>
      </c>
      <c r="H9" s="2">
        <v>9</v>
      </c>
    </row>
    <row r="10" spans="3:8" x14ac:dyDescent="0.3">
      <c r="C10" s="1" t="s">
        <v>7</v>
      </c>
      <c r="D10" s="1"/>
      <c r="E10" s="1"/>
      <c r="F10" s="1"/>
      <c r="G10" s="4">
        <f>E4</f>
        <v>3.8888888888888888</v>
      </c>
      <c r="H10" s="2">
        <v>6</v>
      </c>
    </row>
    <row r="11" spans="3:8" x14ac:dyDescent="0.3">
      <c r="C11" s="1"/>
      <c r="D11" s="1"/>
      <c r="E11" s="1"/>
      <c r="F11" s="1"/>
      <c r="G11" s="1"/>
      <c r="H11" s="1"/>
    </row>
    <row r="12" spans="3:8" x14ac:dyDescent="0.3">
      <c r="C12" s="1"/>
      <c r="D12" s="1"/>
      <c r="E12" s="1"/>
      <c r="F12" s="1"/>
      <c r="G12" s="1"/>
      <c r="H12" s="1"/>
    </row>
    <row r="13" spans="3:8" x14ac:dyDescent="0.3">
      <c r="C13" s="1"/>
      <c r="D13" s="1"/>
      <c r="E13" s="1"/>
      <c r="F13" s="1"/>
      <c r="G13" s="1"/>
      <c r="H13" s="1"/>
    </row>
    <row r="14" spans="3:8" x14ac:dyDescent="0.3">
      <c r="C14" s="1" t="s">
        <v>9</v>
      </c>
      <c r="D14" s="2">
        <v>150</v>
      </c>
      <c r="E14" s="2">
        <v>175</v>
      </c>
      <c r="F14" s="1"/>
      <c r="G14" s="1"/>
      <c r="H14" s="1"/>
    </row>
    <row r="15" spans="3:8" x14ac:dyDescent="0.3">
      <c r="C15" s="1" t="s">
        <v>2</v>
      </c>
      <c r="D15" s="4">
        <f>D14*D4</f>
        <v>733.33333333333337</v>
      </c>
      <c r="E15" s="4">
        <f>E14*E4</f>
        <v>680.55555555555554</v>
      </c>
      <c r="F15" s="3">
        <f>D15+E15</f>
        <v>1413.8888888888889</v>
      </c>
      <c r="G15" s="1"/>
      <c r="H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9F9396AFE1342977B27922CE48D1D" ma:contentTypeVersion="16" ma:contentTypeDescription="Create a new document." ma:contentTypeScope="" ma:versionID="b713ccdafe40f9eae89a7390944f84bd">
  <xsd:schema xmlns:xsd="http://www.w3.org/2001/XMLSchema" xmlns:xs="http://www.w3.org/2001/XMLSchema" xmlns:p="http://schemas.microsoft.com/office/2006/metadata/properties" xmlns:ns3="feb286f2-62b1-4c5a-bfae-8466656355b2" xmlns:ns4="dbea0051-bb01-471d-8426-29c637600ca8" targetNamespace="http://schemas.microsoft.com/office/2006/metadata/properties" ma:root="true" ma:fieldsID="9d6006e1bbfb14971fc2cf1c5c685020" ns3:_="" ns4:_="">
    <xsd:import namespace="feb286f2-62b1-4c5a-bfae-8466656355b2"/>
    <xsd:import namespace="dbea0051-bb01-471d-8426-29c637600ca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286f2-62b1-4c5a-bfae-8466656355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a0051-bb01-471d-8426-29c637600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ea0051-bb01-471d-8426-29c637600ca8" xsi:nil="true"/>
  </documentManagement>
</p:properties>
</file>

<file path=customXml/itemProps1.xml><?xml version="1.0" encoding="utf-8"?>
<ds:datastoreItem xmlns:ds="http://schemas.openxmlformats.org/officeDocument/2006/customXml" ds:itemID="{8337E0C7-318F-4C7D-B7CD-1FDD4DAF7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b286f2-62b1-4c5a-bfae-8466656355b2"/>
    <ds:schemaRef ds:uri="dbea0051-bb01-471d-8426-29c637600c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701552-F53D-4333-A943-739EE75DD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DD640-ABDB-48A5-89FA-4370C2300BA3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bea0051-bb01-471d-8426-29c637600ca8"/>
    <ds:schemaRef ds:uri="feb286f2-62b1-4c5a-bfae-8466656355b2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ESQUIVEL CASTRO</dc:creator>
  <cp:lastModifiedBy>ANA ISABEL ESQUIVEL CASTRO</cp:lastModifiedBy>
  <dcterms:created xsi:type="dcterms:W3CDTF">2025-11-12T21:32:19Z</dcterms:created>
  <dcterms:modified xsi:type="dcterms:W3CDTF">2025-11-12T22:57:08Z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0x010100EA99F9396AFE1342977B27922CE48D1D</vt:lpwstr>
  </property>
</Properties>
</file>